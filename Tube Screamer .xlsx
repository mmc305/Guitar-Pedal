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mmc305_uclive_ac_nz/Documents/"/>
    </mc:Choice>
  </mc:AlternateContent>
  <xr:revisionPtr revIDLastSave="110" documentId="7_{6E40E6FB-1827-2142-A293-CCB32B6148BA}" xr6:coauthVersionLast="47" xr6:coauthVersionMax="47" xr10:uidLastSave="{7683BDAD-5F63-415E-977A-EBB25EAE410F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E10" i="1"/>
  <c r="G10" i="1"/>
  <c r="C10" i="1"/>
  <c r="E9" i="1"/>
  <c r="E8" i="1"/>
  <c r="G9" i="1"/>
  <c r="G8" i="1"/>
  <c r="G3" i="1"/>
  <c r="G4" i="1"/>
  <c r="G5" i="1"/>
  <c r="G6" i="1"/>
  <c r="G7" i="1"/>
  <c r="G2" i="1"/>
  <c r="E5" i="1"/>
  <c r="E6" i="1"/>
  <c r="E7" i="1"/>
  <c r="E3" i="1"/>
  <c r="E4" i="1"/>
  <c r="E2" i="1"/>
</calcChain>
</file>

<file path=xl/sharedStrings.xml><?xml version="1.0" encoding="utf-8"?>
<sst xmlns="http://schemas.openxmlformats.org/spreadsheetml/2006/main" count="17" uniqueCount="16">
  <si>
    <t>Item</t>
  </si>
  <si>
    <t>Cost</t>
  </si>
  <si>
    <t>Cost per unit</t>
  </si>
  <si>
    <t>PCB</t>
  </si>
  <si>
    <t>Postage</t>
  </si>
  <si>
    <t>6.35mm jack</t>
  </si>
  <si>
    <t xml:space="preserve">quantity </t>
  </si>
  <si>
    <t>quantity per unit</t>
  </si>
  <si>
    <t>Foot Switch</t>
  </si>
  <si>
    <t>9V DC Jack</t>
  </si>
  <si>
    <t>Total Spent</t>
  </si>
  <si>
    <t>Quantity Left over</t>
  </si>
  <si>
    <t>B20K Pot</t>
  </si>
  <si>
    <t>B100K Pot</t>
  </si>
  <si>
    <t>A500K Pot</t>
  </si>
  <si>
    <t>Postage (Pots)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</si>
</sst>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DE57-6895-4542-81D6-E58320EB0F24}">
  <dimension ref="A1:I10"/>
  <sheetViews>
    <sheetView tabSelected="1" zoomScaleNormal="60" zoomScaleSheetLayoutView="100" workbookViewId="0">
      <selection activeCell="H15" sqref="H15"/>
    </sheetView>
  </sheetViews>
  <sheetFormatPr defaultRowHeight="15" x14ac:dyDescent="0.25"/>
  <cols>
    <col min="1" max="1" width="12.140625" bestFit="1" customWidth="1"/>
    <col min="2" max="2" width="8.5703125" bestFit="1" customWidth="1"/>
    <col min="3" max="3" width="8" bestFit="1" customWidth="1"/>
    <col min="4" max="4" width="15.42578125" bestFit="1" customWidth="1"/>
    <col min="5" max="5" width="12" bestFit="1" customWidth="1"/>
    <col min="7" max="7" width="17" bestFit="1" customWidth="1"/>
    <col min="8" max="8" width="10.7109375" bestFit="1" customWidth="1"/>
    <col min="9" max="9" width="12" bestFit="1" customWidth="1"/>
  </cols>
  <sheetData>
    <row r="1" spans="1:9" x14ac:dyDescent="0.25">
      <c r="A1" t="s">
        <v>0</v>
      </c>
      <c r="B1" t="s">
        <v>6</v>
      </c>
      <c r="C1" t="s">
        <v>1</v>
      </c>
      <c r="D1" t="s">
        <v>7</v>
      </c>
      <c r="E1" t="s">
        <v>2</v>
      </c>
      <c r="G1" t="s">
        <v>11</v>
      </c>
      <c r="H1" t="s">
        <v>10</v>
      </c>
      <c r="I1" t="s">
        <v>2</v>
      </c>
    </row>
    <row r="2" spans="1:9" x14ac:dyDescent="0.25">
      <c r="A2" t="s">
        <v>3</v>
      </c>
      <c r="B2" s="1">
        <v>5</v>
      </c>
      <c r="C2" s="2">
        <v>20</v>
      </c>
      <c r="D2" s="1">
        <v>1</v>
      </c>
      <c r="E2" s="2">
        <f>C2/(B2/D2)</f>
        <v>4</v>
      </c>
      <c r="G2">
        <f>B2-5*D2</f>
        <v>0</v>
      </c>
      <c r="H2" s="2">
        <f>SUM(C2:C32)</f>
        <v>100.80000000000001</v>
      </c>
      <c r="I2" s="2">
        <f>SUM(E2:E32)</f>
        <v>16.245999999999999</v>
      </c>
    </row>
    <row r="3" spans="1:9" x14ac:dyDescent="0.25">
      <c r="A3" t="s">
        <v>4</v>
      </c>
      <c r="B3" s="1">
        <v>5</v>
      </c>
      <c r="C3" s="2">
        <v>10</v>
      </c>
      <c r="D3" s="1">
        <v>1</v>
      </c>
      <c r="E3" s="2">
        <f>C3/(B3/D3)</f>
        <v>2</v>
      </c>
      <c r="G3">
        <f t="shared" ref="G3:G9" si="0">B3-5*D3</f>
        <v>0</v>
      </c>
    </row>
    <row r="4" spans="1:9" x14ac:dyDescent="0.25">
      <c r="A4" t="s">
        <v>8</v>
      </c>
      <c r="B4">
        <v>5</v>
      </c>
      <c r="C4" s="2">
        <v>20.23</v>
      </c>
      <c r="D4">
        <v>1</v>
      </c>
      <c r="E4" s="2">
        <f>C4/(B4/D4)</f>
        <v>4.0460000000000003</v>
      </c>
      <c r="G4">
        <f t="shared" si="0"/>
        <v>0</v>
      </c>
    </row>
    <row r="5" spans="1:9" x14ac:dyDescent="0.25">
      <c r="A5" t="s">
        <v>9</v>
      </c>
      <c r="B5">
        <v>10</v>
      </c>
      <c r="C5" s="2">
        <v>4.24</v>
      </c>
      <c r="D5">
        <v>1</v>
      </c>
      <c r="E5" s="2">
        <f>C5/(B5/D5)</f>
        <v>0.42400000000000004</v>
      </c>
      <c r="G5">
        <f t="shared" si="0"/>
        <v>5</v>
      </c>
    </row>
    <row r="6" spans="1:9" x14ac:dyDescent="0.25">
      <c r="A6" t="s">
        <v>5</v>
      </c>
      <c r="B6">
        <v>10</v>
      </c>
      <c r="C6" s="2">
        <v>11.43</v>
      </c>
      <c r="D6">
        <v>2</v>
      </c>
      <c r="E6" s="2">
        <f>C6/(B6/D6)</f>
        <v>2.286</v>
      </c>
      <c r="G6">
        <f t="shared" si="0"/>
        <v>0</v>
      </c>
    </row>
    <row r="7" spans="1:9" x14ac:dyDescent="0.25">
      <c r="A7" t="s">
        <v>12</v>
      </c>
      <c r="B7" s="1">
        <v>10</v>
      </c>
      <c r="C7" s="2">
        <v>5.61</v>
      </c>
      <c r="D7" s="1">
        <v>1</v>
      </c>
      <c r="E7" s="2">
        <f>C7/(B7/D7)</f>
        <v>0.56100000000000005</v>
      </c>
      <c r="G7">
        <f t="shared" si="0"/>
        <v>5</v>
      </c>
    </row>
    <row r="8" spans="1:9" x14ac:dyDescent="0.25">
      <c r="A8" t="s">
        <v>13</v>
      </c>
      <c r="B8">
        <v>10</v>
      </c>
      <c r="C8" s="2">
        <v>5.61</v>
      </c>
      <c r="D8">
        <v>1</v>
      </c>
      <c r="E8" s="2">
        <f>C8/(B8/D8)</f>
        <v>0.56100000000000005</v>
      </c>
      <c r="G8">
        <f t="shared" si="0"/>
        <v>5</v>
      </c>
    </row>
    <row r="9" spans="1:9" x14ac:dyDescent="0.25">
      <c r="A9" t="s">
        <v>14</v>
      </c>
      <c r="B9">
        <v>10</v>
      </c>
      <c r="C9" s="2">
        <v>8.15</v>
      </c>
      <c r="D9">
        <v>1</v>
      </c>
      <c r="E9" s="2">
        <f>C9/(B9/D9)</f>
        <v>0.81500000000000006</v>
      </c>
      <c r="G9">
        <f>B9-5*D9</f>
        <v>5</v>
      </c>
    </row>
    <row r="10" spans="1:9" x14ac:dyDescent="0.25">
      <c r="A10" t="s">
        <v>15</v>
      </c>
      <c r="B10">
        <v>30</v>
      </c>
      <c r="C10" s="2">
        <f>-SUM(C7:C9)+34.9</f>
        <v>15.529999999999998</v>
      </c>
      <c r="D10">
        <v>3</v>
      </c>
      <c r="E10" s="2">
        <f>C10/(B10/D10)</f>
        <v>1.5529999999999997</v>
      </c>
      <c r="G10">
        <f>B10-5*D10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McFetridge</dc:creator>
  <cp:lastModifiedBy>Maximus McFetridge</cp:lastModifiedBy>
  <dcterms:created xsi:type="dcterms:W3CDTF">2025-06-14T20:10:51Z</dcterms:created>
  <dcterms:modified xsi:type="dcterms:W3CDTF">2025-06-14T08:38:06Z</dcterms:modified>
</cp:coreProperties>
</file>